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diego\OneDrive\Área de Trabalho\Estudos\Tecnologia\Excel\VBA\VBA Hashtag\Exercicios\SISTEMAS ex\"/>
    </mc:Choice>
  </mc:AlternateContent>
  <xr:revisionPtr revIDLastSave="0" documentId="13_ncr:1_{1C225DE1-C564-46F2-9C1C-322C5E17D00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Base" sheetId="1" r:id="rId1"/>
    <sheet name="Apoio" sheetId="3" r:id="rId2"/>
    <sheet name="Análises" sheetId="2" r:id="rId3"/>
  </sheets>
  <calcPr calcId="191029"/>
  <pivotCaches>
    <pivotCache cacheId="19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3" l="1"/>
  <c r="C2" i="3"/>
  <c r="C1" i="3"/>
</calcChain>
</file>

<file path=xl/sharedStrings.xml><?xml version="1.0" encoding="utf-8"?>
<sst xmlns="http://schemas.openxmlformats.org/spreadsheetml/2006/main" count="171" uniqueCount="97">
  <si>
    <t>Caminhos:</t>
  </si>
  <si>
    <t>Sistemas EAD</t>
  </si>
  <si>
    <t>Sistemas SEMI</t>
  </si>
  <si>
    <t>Sistemas PRESENCIAL</t>
  </si>
  <si>
    <t xml:space="preserve"> </t>
  </si>
  <si>
    <t>User:</t>
  </si>
  <si>
    <t>Diego</t>
  </si>
  <si>
    <t>RA</t>
  </si>
  <si>
    <t xml:space="preserve">Nome </t>
  </si>
  <si>
    <t>Email</t>
  </si>
  <si>
    <t>Curso</t>
  </si>
  <si>
    <t>Fulano1</t>
  </si>
  <si>
    <t>email@1</t>
  </si>
  <si>
    <t>ADS</t>
  </si>
  <si>
    <t>Fulano2</t>
  </si>
  <si>
    <t>email@2</t>
  </si>
  <si>
    <t>Fulano3</t>
  </si>
  <si>
    <t>email@3</t>
  </si>
  <si>
    <t>Fulano4</t>
  </si>
  <si>
    <t>email@4</t>
  </si>
  <si>
    <t>Fulano5</t>
  </si>
  <si>
    <t>email@5</t>
  </si>
  <si>
    <t>Fulano6</t>
  </si>
  <si>
    <t>email@6</t>
  </si>
  <si>
    <t>Fulano7</t>
  </si>
  <si>
    <t>email@7</t>
  </si>
  <si>
    <t>Fulano8</t>
  </si>
  <si>
    <t>email@8</t>
  </si>
  <si>
    <t>Fulano9</t>
  </si>
  <si>
    <t>email@9</t>
  </si>
  <si>
    <t>Fulano10</t>
  </si>
  <si>
    <t>email@10</t>
  </si>
  <si>
    <t>Fulano11</t>
  </si>
  <si>
    <t>Fulano12</t>
  </si>
  <si>
    <t>Fulano13</t>
  </si>
  <si>
    <t>Fulano14</t>
  </si>
  <si>
    <t>Fulano15</t>
  </si>
  <si>
    <t>Fulano16</t>
  </si>
  <si>
    <t>Fulano17</t>
  </si>
  <si>
    <t>Fulano18</t>
  </si>
  <si>
    <t>Fulano19</t>
  </si>
  <si>
    <t>Fulano20</t>
  </si>
  <si>
    <t>email@11</t>
  </si>
  <si>
    <t>Ed. Física</t>
  </si>
  <si>
    <t>email@12</t>
  </si>
  <si>
    <t>email@13</t>
  </si>
  <si>
    <t>email@14</t>
  </si>
  <si>
    <t>email@15</t>
  </si>
  <si>
    <t>email@16</t>
  </si>
  <si>
    <t>Português</t>
  </si>
  <si>
    <t>email@17</t>
  </si>
  <si>
    <t>email@18</t>
  </si>
  <si>
    <t>email@19</t>
  </si>
  <si>
    <t>Engenaria</t>
  </si>
  <si>
    <t>email@20</t>
  </si>
  <si>
    <t>Fulano21</t>
  </si>
  <si>
    <t>Fulano22</t>
  </si>
  <si>
    <t>Fulano23</t>
  </si>
  <si>
    <t>Fulano24</t>
  </si>
  <si>
    <t>Fulano25</t>
  </si>
  <si>
    <t>Fulano26</t>
  </si>
  <si>
    <t>Fulano27</t>
  </si>
  <si>
    <t>Fulano28</t>
  </si>
  <si>
    <t>Fulano29</t>
  </si>
  <si>
    <t>Fulano30</t>
  </si>
  <si>
    <t>email@21</t>
  </si>
  <si>
    <t>Geografia</t>
  </si>
  <si>
    <t>email@22</t>
  </si>
  <si>
    <t>email@23</t>
  </si>
  <si>
    <t>Artes</t>
  </si>
  <si>
    <t>email@24</t>
  </si>
  <si>
    <t>email@25</t>
  </si>
  <si>
    <t>email@26</t>
  </si>
  <si>
    <t>Física</t>
  </si>
  <si>
    <t>email@27</t>
  </si>
  <si>
    <t>email@28</t>
  </si>
  <si>
    <t>email@29</t>
  </si>
  <si>
    <t>email@30</t>
  </si>
  <si>
    <t>EAD</t>
  </si>
  <si>
    <t>SEMI</t>
  </si>
  <si>
    <t>PRESENCIAL</t>
  </si>
  <si>
    <t>Nivel_Ensino</t>
  </si>
  <si>
    <t>Rótulos de Linha</t>
  </si>
  <si>
    <t>Total Geral</t>
  </si>
  <si>
    <t>Contagem de RA</t>
  </si>
  <si>
    <t>Fulano45</t>
  </si>
  <si>
    <t>Fulano76</t>
  </si>
  <si>
    <t>Fulano88</t>
  </si>
  <si>
    <t>Fulano73</t>
  </si>
  <si>
    <t>Fulano99</t>
  </si>
  <si>
    <t>C. Comput</t>
  </si>
  <si>
    <t>email@45</t>
  </si>
  <si>
    <t>email@76</t>
  </si>
  <si>
    <t>Design</t>
  </si>
  <si>
    <t>email@88</t>
  </si>
  <si>
    <t>email@73</t>
  </si>
  <si>
    <t>email@99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</si>
</sst>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1" fillId="0" borderId="0" xfId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0" xfId="0" applyFont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[Acumulado Sistemas.xlsm]Análises!Tabela dinâmica1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Análises!$C$4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Análises!$B$5:$B$13</c:f>
              <c:strCache>
                <c:ptCount val="8"/>
                <c:pt idx="0">
                  <c:v>ADS</c:v>
                </c:pt>
                <c:pt idx="1">
                  <c:v>Artes</c:v>
                </c:pt>
                <c:pt idx="2">
                  <c:v>Ed. Física</c:v>
                </c:pt>
                <c:pt idx="3">
                  <c:v>Engenaria</c:v>
                </c:pt>
                <c:pt idx="4">
                  <c:v>Geografia</c:v>
                </c:pt>
                <c:pt idx="5">
                  <c:v>Português</c:v>
                </c:pt>
                <c:pt idx="6">
                  <c:v>C. Comput</c:v>
                </c:pt>
                <c:pt idx="7">
                  <c:v>Design</c:v>
                </c:pt>
              </c:strCache>
            </c:strRef>
          </c:cat>
          <c:val>
            <c:numRef>
              <c:f>Análises!$C$5:$C$13</c:f>
              <c:numCache>
                <c:formatCode>General</c:formatCode>
                <c:ptCount val="8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31-4335-A317-BB94C986F77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04588656"/>
        <c:axId val="1624491952"/>
      </c:barChart>
      <c:catAx>
        <c:axId val="1804588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4491952"/>
        <c:crosses val="autoZero"/>
        <c:auto val="1"/>
        <c:lblAlgn val="ctr"/>
        <c:lblOffset val="100"/>
        <c:noMultiLvlLbl val="0"/>
      </c:catAx>
      <c:valAx>
        <c:axId val="162449195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80458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[Acumulado Sistemas.xlsm]Análises!Tabela dinâmica2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>
              <a:lumMod val="75000"/>
            </a:schemeClr>
          </a:solidFill>
          <a:ln w="19050">
            <a:noFill/>
          </a:ln>
          <a:effectLst/>
        </c:spPr>
      </c:pivotFmt>
      <c:pivotFmt>
        <c:idx val="2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4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5"/>
        <c:spPr>
          <a:solidFill>
            <a:schemeClr val="accent6">
              <a:lumMod val="75000"/>
            </a:schemeClr>
          </a:solidFill>
          <a:ln w="19050">
            <a:noFill/>
          </a:ln>
          <a:effectLst/>
        </c:spPr>
      </c:pivotFmt>
      <c:pivotFmt>
        <c:idx val="6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>
              <a:lumMod val="60000"/>
              <a:lumOff val="40000"/>
            </a:schemeClr>
          </a:solidFill>
          <a:ln w="19050">
            <a:noFill/>
          </a:ln>
          <a:effectLst/>
        </c:spPr>
      </c:pivotFmt>
      <c:pivotFmt>
        <c:idx val="8"/>
        <c:spPr>
          <a:solidFill>
            <a:schemeClr val="accent5">
              <a:lumMod val="75000"/>
            </a:schemeClr>
          </a:solidFill>
          <a:ln w="19050">
            <a:noFill/>
          </a:ln>
          <a:effectLst/>
        </c:spPr>
      </c:pivotFmt>
      <c:pivotFmt>
        <c:idx val="9"/>
        <c:spPr>
          <a:solidFill>
            <a:srgbClr val="7030A0"/>
          </a:solidFill>
          <a:ln w="19050"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8650467013332676"/>
          <c:y val="0.10879629629629629"/>
          <c:w val="0.45059074573416402"/>
          <c:h val="0.77314814814814814"/>
        </c:manualLayout>
      </c:layout>
      <c:doughnutChart>
        <c:varyColors val="1"/>
        <c:ser>
          <c:idx val="0"/>
          <c:order val="0"/>
          <c:tx>
            <c:strRef>
              <c:f>Análises!$F$4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84A-4136-B868-CBDB7FB6F756}"/>
              </c:ext>
            </c:extLst>
          </c:dPt>
          <c:dPt>
            <c:idx val="1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84A-4136-B868-CBDB7FB6F756}"/>
              </c:ext>
            </c:extLst>
          </c:dPt>
          <c:dPt>
            <c:idx val="2"/>
            <c:bubble3D val="0"/>
            <c:spPr>
              <a:solidFill>
                <a:srgbClr val="7030A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84A-4136-B868-CBDB7FB6F75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Análises!$E$5:$E$8</c:f>
              <c:strCache>
                <c:ptCount val="3"/>
                <c:pt idx="0">
                  <c:v>EAD</c:v>
                </c:pt>
                <c:pt idx="1">
                  <c:v>PRESENCIAL</c:v>
                </c:pt>
                <c:pt idx="2">
                  <c:v>SEMI</c:v>
                </c:pt>
              </c:strCache>
            </c:strRef>
          </c:cat>
          <c:val>
            <c:numRef>
              <c:f>Análises!$F$5:$F$8</c:f>
              <c:numCache>
                <c:formatCode>General</c:formatCode>
                <c:ptCount val="3"/>
                <c:pt idx="0">
                  <c:v>15</c:v>
                </c:pt>
                <c:pt idx="1">
                  <c:v>5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84A-4136-B868-CBDB7FB6F75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82729658792651"/>
          <c:y val="0.26244130941965588"/>
          <c:w val="0.19506036745406827"/>
          <c:h val="0.35474701079031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561975</xdr:colOff>
      <xdr:row>0</xdr:row>
      <xdr:rowOff>57150</xdr:rowOff>
    </xdr:from>
    <xdr:to>
      <xdr:col>8</xdr:col>
      <xdr:colOff>561975</xdr:colOff>
      <xdr:row>2</xdr:row>
      <xdr:rowOff>57150</xdr:rowOff>
    </xdr:to>
    <xdr:sp macro="[0]!Atualizar_base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16D12FB-72EB-46FC-DCA2-BC9363920641}"/>
            </a:ext>
          </a:extLst>
        </xdr:cNvPr>
        <xdr:cNvSpPr/>
      </xdr:nvSpPr>
      <xdr:spPr>
        <a:xfrm>
          <a:off x="4219575" y="57150"/>
          <a:ext cx="1219200" cy="381000"/>
        </a:xfrm>
        <a:prstGeom prst="round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Atualizar Base</a:t>
          </a:r>
        </a:p>
      </xdr:txBody>
    </xdr:sp>
    <xdr:clientData/>
  </xdr:twoCellAnchor>
  <xdr:twoCellAnchor>
    <xdr:from>
      <xdr:col>6</xdr:col>
      <xdr:colOff>293686</xdr:colOff>
      <xdr:row>3</xdr:row>
      <xdr:rowOff>47624</xdr:rowOff>
    </xdr:from>
    <xdr:to>
      <xdr:col>16</xdr:col>
      <xdr:colOff>555625</xdr:colOff>
      <xdr:row>17</xdr:row>
      <xdr:rowOff>7937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FC3BEEA-2775-4D38-9C53-D2BD55E24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190501</xdr:colOff>
      <xdr:row>3</xdr:row>
      <xdr:rowOff>47624</xdr:rowOff>
    </xdr:from>
    <xdr:to>
      <xdr:col>13</xdr:col>
      <xdr:colOff>531813</xdr:colOff>
      <xdr:row>4</xdr:row>
      <xdr:rowOff>87312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22B1BF90-012F-0DAA-B17C-3CD769E1F369}"/>
            </a:ext>
          </a:extLst>
        </xdr:cNvPr>
        <xdr:cNvSpPr txBox="1"/>
      </xdr:nvSpPr>
      <xdr:spPr>
        <a:xfrm>
          <a:off x="6588126" y="619124"/>
          <a:ext cx="2174875" cy="23018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 i="0">
              <a:solidFill>
                <a:schemeClr val="accent1">
                  <a:lumMod val="50000"/>
                </a:schemeClr>
              </a:solidFill>
            </a:rPr>
            <a:t>Qtd de</a:t>
          </a:r>
          <a:r>
            <a:rPr lang="pt-BR" sz="1100" b="1" i="0" baseline="0">
              <a:solidFill>
                <a:schemeClr val="accent1">
                  <a:lumMod val="50000"/>
                </a:schemeClr>
              </a:solidFill>
            </a:rPr>
            <a:t> Alunos por Curso</a:t>
          </a:r>
        </a:p>
      </xdr:txBody>
    </xdr:sp>
    <xdr:clientData/>
  </xdr:twoCellAnchor>
  <xdr:twoCellAnchor>
    <xdr:from>
      <xdr:col>4</xdr:col>
      <xdr:colOff>396873</xdr:colOff>
      <xdr:row>16</xdr:row>
      <xdr:rowOff>111136</xdr:rowOff>
    </xdr:from>
    <xdr:to>
      <xdr:col>12</xdr:col>
      <xdr:colOff>531805</xdr:colOff>
      <xdr:row>30</xdr:row>
      <xdr:rowOff>187336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66B6499-5B8B-4782-97B2-64A6A1F182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ego Oliveira" refreshedDate="46306.759825578702" createdVersion="8" refreshedVersion="8" minRefreshableVersion="3" recordCount="30" xr:uid="{DC4AA436-FB45-4EF1-9605-E76926CB7624}">
  <cacheSource type="worksheet">
    <worksheetSource ref="A1:E31" sheet="Base"/>
  </cacheSource>
  <cacheFields count="5">
    <cacheField name="RA" numFmtId="0">
      <sharedItems containsSemiMixedTypes="0" containsString="0" containsNumber="1" containsInteger="1" minValue="16242" maxValue="96411"/>
    </cacheField>
    <cacheField name="Nome " numFmtId="0">
      <sharedItems/>
    </cacheField>
    <cacheField name="Email" numFmtId="0">
      <sharedItems/>
    </cacheField>
    <cacheField name="Curso" numFmtId="0">
      <sharedItems count="9">
        <s v="ADS"/>
        <s v="C. Comput"/>
        <s v="Design"/>
        <s v="Ed. Física"/>
        <s v="Português"/>
        <s v="Engenaria"/>
        <s v="Geografia"/>
        <s v="Artes"/>
        <s v="Física" u="1"/>
      </sharedItems>
    </cacheField>
    <cacheField name="Nivel_Ensino" numFmtId="0">
      <sharedItems count="3">
        <s v="EAD"/>
        <s v="SEMI"/>
        <s v="PRESENCI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n v="88218"/>
    <s v="Fulano1"/>
    <s v="email@1"/>
    <x v="0"/>
    <x v="0"/>
  </r>
  <r>
    <n v="19413"/>
    <s v="Fulano2"/>
    <s v="email@2"/>
    <x v="0"/>
    <x v="0"/>
  </r>
  <r>
    <n v="93942"/>
    <s v="Fulano3"/>
    <s v="email@3"/>
    <x v="0"/>
    <x v="0"/>
  </r>
  <r>
    <n v="64471"/>
    <s v="Fulano4"/>
    <s v="email@4"/>
    <x v="0"/>
    <x v="0"/>
  </r>
  <r>
    <n v="18074"/>
    <s v="Fulano5"/>
    <s v="email@5"/>
    <x v="0"/>
    <x v="0"/>
  </r>
  <r>
    <n v="33747"/>
    <s v="Fulano6"/>
    <s v="email@6"/>
    <x v="0"/>
    <x v="0"/>
  </r>
  <r>
    <n v="21782"/>
    <s v="Fulano7"/>
    <s v="email@7"/>
    <x v="0"/>
    <x v="0"/>
  </r>
  <r>
    <n v="43229"/>
    <s v="Fulano8"/>
    <s v="email@8"/>
    <x v="1"/>
    <x v="0"/>
  </r>
  <r>
    <n v="22848"/>
    <s v="Fulano9"/>
    <s v="email@9"/>
    <x v="1"/>
    <x v="0"/>
  </r>
  <r>
    <n v="69746"/>
    <s v="Fulano10"/>
    <s v="email@10"/>
    <x v="1"/>
    <x v="0"/>
  </r>
  <r>
    <n v="53155"/>
    <s v="Fulano45"/>
    <s v="email@45"/>
    <x v="1"/>
    <x v="0"/>
  </r>
  <r>
    <n v="68773"/>
    <s v="Fulano76"/>
    <s v="email@76"/>
    <x v="2"/>
    <x v="0"/>
  </r>
  <r>
    <n v="37455"/>
    <s v="Fulano88"/>
    <s v="email@88"/>
    <x v="2"/>
    <x v="0"/>
  </r>
  <r>
    <n v="28028"/>
    <s v="Fulano73"/>
    <s v="email@73"/>
    <x v="2"/>
    <x v="0"/>
  </r>
  <r>
    <n v="60202"/>
    <s v="Fulano99"/>
    <s v="email@99"/>
    <x v="2"/>
    <x v="0"/>
  </r>
  <r>
    <n v="39454"/>
    <s v="Fulano11"/>
    <s v="email@11"/>
    <x v="3"/>
    <x v="1"/>
  </r>
  <r>
    <n v="96411"/>
    <s v="Fulano12"/>
    <s v="email@12"/>
    <x v="3"/>
    <x v="1"/>
  </r>
  <r>
    <n v="83252"/>
    <s v="Fulano13"/>
    <s v="email@13"/>
    <x v="3"/>
    <x v="1"/>
  </r>
  <r>
    <n v="76829"/>
    <s v="Fulano14"/>
    <s v="email@14"/>
    <x v="3"/>
    <x v="1"/>
  </r>
  <r>
    <n v="75767"/>
    <s v="Fulano15"/>
    <s v="email@15"/>
    <x v="3"/>
    <x v="1"/>
  </r>
  <r>
    <n v="92324"/>
    <s v="Fulano16"/>
    <s v="email@16"/>
    <x v="4"/>
    <x v="1"/>
  </r>
  <r>
    <n v="74182"/>
    <s v="Fulano17"/>
    <s v="email@17"/>
    <x v="4"/>
    <x v="1"/>
  </r>
  <r>
    <n v="69411"/>
    <s v="Fulano18"/>
    <s v="email@18"/>
    <x v="4"/>
    <x v="1"/>
  </r>
  <r>
    <n v="89663"/>
    <s v="Fulano19"/>
    <s v="email@19"/>
    <x v="5"/>
    <x v="1"/>
  </r>
  <r>
    <n v="48836"/>
    <s v="Fulano20"/>
    <s v="email@20"/>
    <x v="5"/>
    <x v="1"/>
  </r>
  <r>
    <n v="16242"/>
    <s v="Fulano21"/>
    <s v="email@21"/>
    <x v="6"/>
    <x v="2"/>
  </r>
  <r>
    <n v="66729"/>
    <s v="Fulano22"/>
    <s v="email@22"/>
    <x v="6"/>
    <x v="2"/>
  </r>
  <r>
    <n v="92441"/>
    <s v="Fulano23"/>
    <s v="email@23"/>
    <x v="7"/>
    <x v="2"/>
  </r>
  <r>
    <n v="44750"/>
    <s v="Fulano24"/>
    <s v="email@24"/>
    <x v="7"/>
    <x v="2"/>
  </r>
  <r>
    <n v="66805"/>
    <s v="Fulano25"/>
    <s v="email@25"/>
    <x v="7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E0ED9F-C665-4E87-B2F7-4A10E29F5F26}" name="Tabela dinâmica2" cacheId="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>
  <location ref="E4:F8" firstHeaderRow="1" firstDataRow="1" firstDataCol="1"/>
  <pivotFields count="5">
    <pivotField dataField="1" showAll="0"/>
    <pivotField showAll="0"/>
    <pivotField showAll="0"/>
    <pivotField showAll="0">
      <items count="10">
        <item x="0"/>
        <item x="7"/>
        <item x="3"/>
        <item x="5"/>
        <item m="1" x="8"/>
        <item x="6"/>
        <item x="4"/>
        <item x="1"/>
        <item x="2"/>
        <item t="default"/>
      </items>
    </pivotField>
    <pivotField axis="axisRow" showAll="0">
      <items count="4">
        <item x="0"/>
        <item x="2"/>
        <item x="1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RA" fld="0" subtotal="count" baseField="3" baseItem="0"/>
  </dataFields>
  <chartFormats count="6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7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9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9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1B6173-D964-470A-8BAD-0A846A00BB17}" name="Tabela dinâmica1" cacheId="1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8">
  <location ref="B4:C13" firstHeaderRow="1" firstDataRow="1" firstDataCol="1"/>
  <pivotFields count="5">
    <pivotField dataField="1" showAll="0"/>
    <pivotField showAll="0"/>
    <pivotField showAll="0"/>
    <pivotField axis="axisRow" showAll="0">
      <items count="10">
        <item x="0"/>
        <item x="7"/>
        <item x="3"/>
        <item x="5"/>
        <item m="1" x="8"/>
        <item x="6"/>
        <item x="4"/>
        <item x="1"/>
        <item x="2"/>
        <item t="default"/>
      </items>
    </pivotField>
    <pivotField showAll="0"/>
  </pivotFields>
  <rowFields count="1">
    <field x="3"/>
  </rowFields>
  <rowItems count="9">
    <i>
      <x/>
    </i>
    <i>
      <x v="1"/>
    </i>
    <i>
      <x v="2"/>
    </i>
    <i>
      <x v="3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Contagem de RA" fld="0" subtotal="count" baseField="4" baseItem="0"/>
  </dataField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email@99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mailto:email@1" TargetMode="External"/><Relationship Id="rId7" Type="http://schemas.openxmlformats.org/officeDocument/2006/relationships/hyperlink" Target="mailto:email@73" TargetMode="External"/><Relationship Id="rId12" Type="http://schemas.openxmlformats.org/officeDocument/2006/relationships/hyperlink" Target="mailto:email@21" TargetMode="External"/><Relationship Id="rId2" Type="http://schemas.openxmlformats.org/officeDocument/2006/relationships/hyperlink" Target="mailto:email@1" TargetMode="External"/><Relationship Id="rId1" Type="http://schemas.openxmlformats.org/officeDocument/2006/relationships/hyperlink" Target="mailto:email@1" TargetMode="External"/><Relationship Id="rId6" Type="http://schemas.openxmlformats.org/officeDocument/2006/relationships/hyperlink" Target="mailto:email@88" TargetMode="External"/><Relationship Id="rId11" Type="http://schemas.openxmlformats.org/officeDocument/2006/relationships/hyperlink" Target="mailto:email@21" TargetMode="External"/><Relationship Id="rId5" Type="http://schemas.openxmlformats.org/officeDocument/2006/relationships/hyperlink" Target="mailto:email@76" TargetMode="External"/><Relationship Id="rId10" Type="http://schemas.openxmlformats.org/officeDocument/2006/relationships/hyperlink" Target="mailto:email@11" TargetMode="External"/><Relationship Id="rId4" Type="http://schemas.openxmlformats.org/officeDocument/2006/relationships/hyperlink" Target="mailto:email@45" TargetMode="External"/><Relationship Id="rId9" Type="http://schemas.openxmlformats.org/officeDocument/2006/relationships/hyperlink" Target="mailto:email@11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E36"/>
  <sheetViews>
    <sheetView showGridLines="0" tabSelected="1" zoomScale="120" zoomScaleNormal="120" workbookViewId="0">
      <selection activeCell="O22" sqref="O22"/>
    </sheetView>
  </sheetViews>
  <sheetFormatPr defaultRowHeight="15" x14ac:dyDescent="0.25"/>
  <cols>
    <col min="1" max="1" width="10.140625" customWidth="1"/>
    <col min="2" max="2" width="13.42578125" customWidth="1"/>
    <col min="3" max="3" width="14.140625" customWidth="1"/>
    <col min="4" max="4" width="12.5703125" customWidth="1"/>
    <col min="7" max="7" width="4.42578125" customWidth="1"/>
  </cols>
  <sheetData>
    <row r="1" spans="1:5" x14ac:dyDescent="0.25">
      <c r="A1" s="7" t="s">
        <v>7</v>
      </c>
      <c r="B1" s="7" t="s">
        <v>8</v>
      </c>
      <c r="C1" s="7" t="s">
        <v>9</v>
      </c>
      <c r="D1" s="7" t="s">
        <v>10</v>
      </c>
      <c r="E1" s="7" t="s">
        <v>81</v>
      </c>
    </row>
    <row r="2" spans="1:5" x14ac:dyDescent="0.25">
      <c r="A2">
        <v>88218</v>
      </c>
      <c r="B2" t="s">
        <v>11</v>
      </c>
      <c r="C2" s="3" t="s">
        <v>12</v>
      </c>
      <c r="D2" t="s">
        <v>13</v>
      </c>
      <c r="E2" t="s">
        <v>78</v>
      </c>
    </row>
    <row r="3" spans="1:5" x14ac:dyDescent="0.25">
      <c r="A3">
        <v>19413</v>
      </c>
      <c r="B3" t="s">
        <v>14</v>
      </c>
      <c r="C3" s="3" t="s">
        <v>15</v>
      </c>
      <c r="D3" t="s">
        <v>13</v>
      </c>
      <c r="E3" t="s">
        <v>78</v>
      </c>
    </row>
    <row r="4" spans="1:5" x14ac:dyDescent="0.25">
      <c r="A4">
        <v>93942</v>
      </c>
      <c r="B4" t="s">
        <v>16</v>
      </c>
      <c r="C4" s="3" t="s">
        <v>17</v>
      </c>
      <c r="D4" t="s">
        <v>13</v>
      </c>
      <c r="E4" t="s">
        <v>78</v>
      </c>
    </row>
    <row r="5" spans="1:5" x14ac:dyDescent="0.25">
      <c r="A5">
        <v>64471</v>
      </c>
      <c r="B5" t="s">
        <v>18</v>
      </c>
      <c r="C5" s="3" t="s">
        <v>19</v>
      </c>
      <c r="D5" t="s">
        <v>13</v>
      </c>
      <c r="E5" t="s">
        <v>78</v>
      </c>
    </row>
    <row r="6" spans="1:5" x14ac:dyDescent="0.25">
      <c r="A6">
        <v>18074</v>
      </c>
      <c r="B6" t="s">
        <v>20</v>
      </c>
      <c r="C6" s="3" t="s">
        <v>21</v>
      </c>
      <c r="D6" t="s">
        <v>13</v>
      </c>
      <c r="E6" t="s">
        <v>78</v>
      </c>
    </row>
    <row r="7" spans="1:5" x14ac:dyDescent="0.25">
      <c r="A7">
        <v>33747</v>
      </c>
      <c r="B7" t="s">
        <v>22</v>
      </c>
      <c r="C7" s="3" t="s">
        <v>23</v>
      </c>
      <c r="D7" t="s">
        <v>13</v>
      </c>
      <c r="E7" t="s">
        <v>78</v>
      </c>
    </row>
    <row r="8" spans="1:5" x14ac:dyDescent="0.25">
      <c r="A8">
        <v>21782</v>
      </c>
      <c r="B8" t="s">
        <v>24</v>
      </c>
      <c r="C8" s="3" t="s">
        <v>25</v>
      </c>
      <c r="D8" t="s">
        <v>13</v>
      </c>
      <c r="E8" t="s">
        <v>78</v>
      </c>
    </row>
    <row r="9" spans="1:5" x14ac:dyDescent="0.25">
      <c r="A9">
        <v>43229</v>
      </c>
      <c r="B9" t="s">
        <v>26</v>
      </c>
      <c r="C9" s="3" t="s">
        <v>27</v>
      </c>
      <c r="D9" t="s">
        <v>90</v>
      </c>
      <c r="E9" t="s">
        <v>78</v>
      </c>
    </row>
    <row r="10" spans="1:5" x14ac:dyDescent="0.25">
      <c r="A10">
        <v>22848</v>
      </c>
      <c r="B10" t="s">
        <v>28</v>
      </c>
      <c r="C10" s="3" t="s">
        <v>29</v>
      </c>
      <c r="D10" t="s">
        <v>90</v>
      </c>
      <c r="E10" t="s">
        <v>78</v>
      </c>
    </row>
    <row r="11" spans="1:5" x14ac:dyDescent="0.25">
      <c r="A11">
        <v>69746</v>
      </c>
      <c r="B11" t="s">
        <v>30</v>
      </c>
      <c r="C11" s="3" t="s">
        <v>31</v>
      </c>
      <c r="D11" t="s">
        <v>90</v>
      </c>
      <c r="E11" t="s">
        <v>78</v>
      </c>
    </row>
    <row r="12" spans="1:5" x14ac:dyDescent="0.25">
      <c r="A12">
        <v>53155</v>
      </c>
      <c r="B12" t="s">
        <v>85</v>
      </c>
      <c r="C12" s="3" t="s">
        <v>91</v>
      </c>
      <c r="D12" t="s">
        <v>90</v>
      </c>
      <c r="E12" t="s">
        <v>78</v>
      </c>
    </row>
    <row r="13" spans="1:5" x14ac:dyDescent="0.25">
      <c r="A13">
        <v>68773</v>
      </c>
      <c r="B13" t="s">
        <v>86</v>
      </c>
      <c r="C13" s="3" t="s">
        <v>92</v>
      </c>
      <c r="D13" t="s">
        <v>93</v>
      </c>
      <c r="E13" t="s">
        <v>78</v>
      </c>
    </row>
    <row r="14" spans="1:5" x14ac:dyDescent="0.25">
      <c r="A14">
        <v>37455</v>
      </c>
      <c r="B14" t="s">
        <v>87</v>
      </c>
      <c r="C14" s="3" t="s">
        <v>94</v>
      </c>
      <c r="D14" t="s">
        <v>93</v>
      </c>
      <c r="E14" t="s">
        <v>78</v>
      </c>
    </row>
    <row r="15" spans="1:5" x14ac:dyDescent="0.25">
      <c r="A15">
        <v>28028</v>
      </c>
      <c r="B15" t="s">
        <v>88</v>
      </c>
      <c r="C15" s="3" t="s">
        <v>95</v>
      </c>
      <c r="D15" t="s">
        <v>93</v>
      </c>
      <c r="E15" t="s">
        <v>78</v>
      </c>
    </row>
    <row r="16" spans="1:5" x14ac:dyDescent="0.25">
      <c r="A16">
        <v>60202</v>
      </c>
      <c r="B16" t="s">
        <v>89</v>
      </c>
      <c r="C16" s="3" t="s">
        <v>96</v>
      </c>
      <c r="D16" t="s">
        <v>93</v>
      </c>
      <c r="E16" t="s">
        <v>78</v>
      </c>
    </row>
    <row r="17" spans="1:5" x14ac:dyDescent="0.25">
      <c r="A17">
        <v>39454</v>
      </c>
      <c r="B17" t="s">
        <v>32</v>
      </c>
      <c r="C17" s="3" t="s">
        <v>42</v>
      </c>
      <c r="D17" t="s">
        <v>43</v>
      </c>
      <c r="E17" t="s">
        <v>79</v>
      </c>
    </row>
    <row r="18" spans="1:5" x14ac:dyDescent="0.25">
      <c r="A18">
        <v>96411</v>
      </c>
      <c r="B18" t="s">
        <v>33</v>
      </c>
      <c r="C18" s="3" t="s">
        <v>44</v>
      </c>
      <c r="D18" t="s">
        <v>43</v>
      </c>
      <c r="E18" t="s">
        <v>79</v>
      </c>
    </row>
    <row r="19" spans="1:5" x14ac:dyDescent="0.25">
      <c r="A19">
        <v>83252</v>
      </c>
      <c r="B19" t="s">
        <v>34</v>
      </c>
      <c r="C19" s="3" t="s">
        <v>45</v>
      </c>
      <c r="D19" t="s">
        <v>43</v>
      </c>
      <c r="E19" t="s">
        <v>79</v>
      </c>
    </row>
    <row r="20" spans="1:5" x14ac:dyDescent="0.25">
      <c r="A20">
        <v>76829</v>
      </c>
      <c r="B20" t="s">
        <v>35</v>
      </c>
      <c r="C20" s="3" t="s">
        <v>46</v>
      </c>
      <c r="D20" t="s">
        <v>43</v>
      </c>
      <c r="E20" t="s">
        <v>79</v>
      </c>
    </row>
    <row r="21" spans="1:5" x14ac:dyDescent="0.25">
      <c r="A21">
        <v>75767</v>
      </c>
      <c r="B21" t="s">
        <v>36</v>
      </c>
      <c r="C21" s="3" t="s">
        <v>47</v>
      </c>
      <c r="D21" t="s">
        <v>43</v>
      </c>
      <c r="E21" t="s">
        <v>79</v>
      </c>
    </row>
    <row r="22" spans="1:5" x14ac:dyDescent="0.25">
      <c r="A22">
        <v>92324</v>
      </c>
      <c r="B22" t="s">
        <v>37</v>
      </c>
      <c r="C22" s="3" t="s">
        <v>48</v>
      </c>
      <c r="D22" t="s">
        <v>49</v>
      </c>
      <c r="E22" t="s">
        <v>79</v>
      </c>
    </row>
    <row r="23" spans="1:5" x14ac:dyDescent="0.25">
      <c r="A23">
        <v>74182</v>
      </c>
      <c r="B23" t="s">
        <v>38</v>
      </c>
      <c r="C23" s="3" t="s">
        <v>50</v>
      </c>
      <c r="D23" t="s">
        <v>49</v>
      </c>
      <c r="E23" t="s">
        <v>79</v>
      </c>
    </row>
    <row r="24" spans="1:5" x14ac:dyDescent="0.25">
      <c r="A24">
        <v>69411</v>
      </c>
      <c r="B24" t="s">
        <v>39</v>
      </c>
      <c r="C24" s="3" t="s">
        <v>51</v>
      </c>
      <c r="D24" t="s">
        <v>49</v>
      </c>
      <c r="E24" t="s">
        <v>79</v>
      </c>
    </row>
    <row r="25" spans="1:5" x14ac:dyDescent="0.25">
      <c r="A25">
        <v>89663</v>
      </c>
      <c r="B25" t="s">
        <v>40</v>
      </c>
      <c r="C25" s="3" t="s">
        <v>52</v>
      </c>
      <c r="D25" t="s">
        <v>53</v>
      </c>
      <c r="E25" t="s">
        <v>79</v>
      </c>
    </row>
    <row r="26" spans="1:5" x14ac:dyDescent="0.25">
      <c r="A26">
        <v>48836</v>
      </c>
      <c r="B26" t="s">
        <v>41</v>
      </c>
      <c r="C26" s="3" t="s">
        <v>54</v>
      </c>
      <c r="D26" t="s">
        <v>53</v>
      </c>
      <c r="E26" t="s">
        <v>79</v>
      </c>
    </row>
    <row r="27" spans="1:5" x14ac:dyDescent="0.25">
      <c r="A27">
        <v>16242</v>
      </c>
      <c r="B27" t="s">
        <v>55</v>
      </c>
      <c r="C27" s="3" t="s">
        <v>65</v>
      </c>
      <c r="D27" t="s">
        <v>66</v>
      </c>
      <c r="E27" t="s">
        <v>80</v>
      </c>
    </row>
    <row r="28" spans="1:5" x14ac:dyDescent="0.25">
      <c r="A28">
        <v>66729</v>
      </c>
      <c r="B28" t="s">
        <v>56</v>
      </c>
      <c r="C28" s="3" t="s">
        <v>67</v>
      </c>
      <c r="D28" t="s">
        <v>66</v>
      </c>
      <c r="E28" t="s">
        <v>80</v>
      </c>
    </row>
    <row r="29" spans="1:5" x14ac:dyDescent="0.25">
      <c r="A29">
        <v>92441</v>
      </c>
      <c r="B29" t="s">
        <v>57</v>
      </c>
      <c r="C29" s="3" t="s">
        <v>68</v>
      </c>
      <c r="D29" t="s">
        <v>69</v>
      </c>
      <c r="E29" t="s">
        <v>80</v>
      </c>
    </row>
    <row r="30" spans="1:5" x14ac:dyDescent="0.25">
      <c r="A30">
        <v>44750</v>
      </c>
      <c r="B30" t="s">
        <v>58</v>
      </c>
      <c r="C30" s="3" t="s">
        <v>70</v>
      </c>
      <c r="D30" t="s">
        <v>69</v>
      </c>
      <c r="E30" t="s">
        <v>80</v>
      </c>
    </row>
    <row r="31" spans="1:5" x14ac:dyDescent="0.25">
      <c r="A31">
        <v>66805</v>
      </c>
      <c r="B31" t="s">
        <v>59</v>
      </c>
      <c r="C31" s="3" t="s">
        <v>71</v>
      </c>
      <c r="D31" t="s">
        <v>69</v>
      </c>
      <c r="E31" t="s">
        <v>80</v>
      </c>
    </row>
    <row r="32" spans="1:5" x14ac:dyDescent="0.25">
      <c r="A32">
        <v>16180</v>
      </c>
      <c r="B32" t="s">
        <v>60</v>
      </c>
      <c r="C32" s="3" t="s">
        <v>72</v>
      </c>
      <c r="D32" t="s">
        <v>73</v>
      </c>
      <c r="E32" t="s">
        <v>80</v>
      </c>
    </row>
    <row r="33" spans="1:5" x14ac:dyDescent="0.25">
      <c r="A33">
        <v>75093</v>
      </c>
      <c r="B33" t="s">
        <v>61</v>
      </c>
      <c r="C33" s="3" t="s">
        <v>74</v>
      </c>
      <c r="D33" t="s">
        <v>73</v>
      </c>
      <c r="E33" t="s">
        <v>80</v>
      </c>
    </row>
    <row r="34" spans="1:5" x14ac:dyDescent="0.25">
      <c r="A34">
        <v>27459</v>
      </c>
      <c r="B34" t="s">
        <v>62</v>
      </c>
      <c r="C34" s="3" t="s">
        <v>75</v>
      </c>
      <c r="D34" t="s">
        <v>73</v>
      </c>
      <c r="E34" t="s">
        <v>80</v>
      </c>
    </row>
    <row r="35" spans="1:5" x14ac:dyDescent="0.25">
      <c r="A35">
        <v>34739</v>
      </c>
      <c r="B35" t="s">
        <v>63</v>
      </c>
      <c r="C35" s="3" t="s">
        <v>76</v>
      </c>
      <c r="D35" t="s">
        <v>53</v>
      </c>
      <c r="E35" t="s">
        <v>80</v>
      </c>
    </row>
    <row r="36" spans="1:5" x14ac:dyDescent="0.25">
      <c r="A36">
        <v>49625</v>
      </c>
      <c r="B36" t="s">
        <v>64</v>
      </c>
      <c r="C36" s="3" t="s">
        <v>77</v>
      </c>
      <c r="D36" t="s">
        <v>53</v>
      </c>
      <c r="E36" t="s">
        <v>80</v>
      </c>
    </row>
  </sheetData>
  <hyperlinks>
    <hyperlink ref="C2" r:id="rId1" xr:uid="{4B609C3E-7CA4-4AD3-ABB8-B3342A8A7DB5}"/>
    <hyperlink ref="C3:C11" r:id="rId2" display="email@1" xr:uid="{69155B1C-A6CB-4188-99BC-1C286EC2C712}"/>
    <hyperlink ref="C12:C16" r:id="rId3" display="email@1" xr:uid="{6A880067-E403-496C-9F17-652CE327C028}"/>
    <hyperlink ref="C12" r:id="rId4" xr:uid="{CD328E0B-56BB-478A-8FAC-43203F90B794}"/>
    <hyperlink ref="C13" r:id="rId5" xr:uid="{BE323966-AAB6-43DA-81BE-C7A7607A78CE}"/>
    <hyperlink ref="C14" r:id="rId6" xr:uid="{298C8344-926E-4916-BC1F-7C3164134808}"/>
    <hyperlink ref="C15" r:id="rId7" xr:uid="{257A2AAD-6BE7-4422-BB0C-7E84C5C1CA54}"/>
    <hyperlink ref="C16" r:id="rId8" xr:uid="{F64DBDE0-17A2-4937-AEEB-713CD37B92E8}"/>
    <hyperlink ref="C17" r:id="rId9" xr:uid="{7AB6EA90-2F58-4DE3-816C-1B9C669D0A73}"/>
    <hyperlink ref="C18:C26" r:id="rId10" display="email@11" xr:uid="{B94BCA89-1CDF-465F-BA1A-7D39F86011A5}"/>
    <hyperlink ref="C27" r:id="rId11" xr:uid="{7E3185D3-5927-4BFC-824B-FBC9DA21C26E}"/>
    <hyperlink ref="C28:C36" r:id="rId12" display="email@21" xr:uid="{98B7C48C-7E6D-4BAE-9A44-4607D489F265}"/>
  </hyperlinks>
  <pageMargins left="0.7" right="0.7" top="0.75" bottom="0.75" header="0.3" footer="0.3"/>
  <drawing r:id="rId1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49434-A6A0-4996-9B9F-4D8A7E5AC069}">
  <sheetPr codeName="Planilha3"/>
  <dimension ref="A1:E3"/>
  <sheetViews>
    <sheetView workbookViewId="0">
      <selection activeCell="C7" sqref="C7"/>
    </sheetView>
  </sheetViews>
  <sheetFormatPr defaultRowHeight="15" x14ac:dyDescent="0.25"/>
  <cols>
    <col min="1" max="1" width="15.28515625" customWidth="1"/>
    <col min="2" max="2" width="21.28515625" customWidth="1"/>
    <col min="3" max="3" width="129.42578125" customWidth="1"/>
    <col min="4" max="4" width="7.28515625" customWidth="1"/>
    <col min="5" max="5" width="13.85546875" customWidth="1"/>
  </cols>
  <sheetData>
    <row r="1" spans="1:5" x14ac:dyDescent="0.25">
      <c r="A1" s="1" t="s">
        <v>0</v>
      </c>
      <c r="B1" t="s">
        <v>1</v>
      </c>
      <c r="C1" s="2" t="str">
        <f>"C:\Users\"&amp;$E$2&amp;"\OneDrive\Área de Trabalho\codigos\VBA\bases\"&amp;$B1&amp;".xlsx"</f>
        <v>C:\Users\Diego\OneDrive\Área de Trabalho\codigos\VBA\bases\Sistemas EAD.xlsx</v>
      </c>
      <c r="D1" t="s">
        <v>4</v>
      </c>
      <c r="E1" s="1" t="s">
        <v>5</v>
      </c>
    </row>
    <row r="2" spans="1:5" x14ac:dyDescent="0.25">
      <c r="B2" t="s">
        <v>2</v>
      </c>
      <c r="C2" s="2" t="str">
        <f>"C:\Users\"&amp;$E$2&amp;"\OneDrive\Área de Trabalho\codigos\VBA\bases\"&amp;$B2&amp;".xlsx"</f>
        <v>C:\Users\Diego\OneDrive\Área de Trabalho\codigos\VBA\bases\Sistemas SEMI.xlsx</v>
      </c>
      <c r="D2" t="s">
        <v>4</v>
      </c>
      <c r="E2" t="s">
        <v>6</v>
      </c>
    </row>
    <row r="3" spans="1:5" x14ac:dyDescent="0.25">
      <c r="B3" t="s">
        <v>3</v>
      </c>
      <c r="C3" s="2" t="str">
        <f>"C:\Users\"&amp;$E$2&amp;"\OneDrive\Área de Trabalho\codigos\VBA\bases\"&amp;$B3&amp;".xlsx"</f>
        <v>C:\Users\Diego\OneDrive\Área de Trabalho\codigos\VBA\bases\Sistemas PRESENCIAL.xlsx</v>
      </c>
      <c r="D3" t="s">
        <v>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4149B-8FBD-4EA2-8ACF-9323DE4E17E8}">
  <sheetPr codeName="Planilha2"/>
  <dimension ref="B4:F13"/>
  <sheetViews>
    <sheetView showGridLines="0" workbookViewId="0">
      <selection activeCell="C38" sqref="C38"/>
    </sheetView>
  </sheetViews>
  <sheetFormatPr defaultRowHeight="15" x14ac:dyDescent="0.25"/>
  <cols>
    <col min="2" max="2" width="18" bestFit="1" customWidth="1"/>
    <col min="3" max="3" width="15.7109375" bestFit="1" customWidth="1"/>
    <col min="5" max="5" width="18" bestFit="1" customWidth="1"/>
    <col min="6" max="6" width="15.7109375" bestFit="1" customWidth="1"/>
  </cols>
  <sheetData>
    <row r="4" spans="2:6" x14ac:dyDescent="0.25">
      <c r="B4" s="4" t="s">
        <v>82</v>
      </c>
      <c r="C4" t="s">
        <v>84</v>
      </c>
      <c r="E4" s="4" t="s">
        <v>82</v>
      </c>
      <c r="F4" t="s">
        <v>84</v>
      </c>
    </row>
    <row r="5" spans="2:6" x14ac:dyDescent="0.25">
      <c r="B5" s="5" t="s">
        <v>13</v>
      </c>
      <c r="C5" s="6">
        <v>7</v>
      </c>
      <c r="E5" s="5" t="s">
        <v>78</v>
      </c>
      <c r="F5" s="6">
        <v>15</v>
      </c>
    </row>
    <row r="6" spans="2:6" x14ac:dyDescent="0.25">
      <c r="B6" s="5" t="s">
        <v>69</v>
      </c>
      <c r="C6" s="6">
        <v>3</v>
      </c>
      <c r="E6" s="5" t="s">
        <v>80</v>
      </c>
      <c r="F6" s="6">
        <v>5</v>
      </c>
    </row>
    <row r="7" spans="2:6" x14ac:dyDescent="0.25">
      <c r="B7" s="5" t="s">
        <v>43</v>
      </c>
      <c r="C7" s="6">
        <v>5</v>
      </c>
      <c r="E7" s="5" t="s">
        <v>79</v>
      </c>
      <c r="F7" s="6">
        <v>10</v>
      </c>
    </row>
    <row r="8" spans="2:6" x14ac:dyDescent="0.25">
      <c r="B8" s="5" t="s">
        <v>53</v>
      </c>
      <c r="C8" s="6">
        <v>2</v>
      </c>
      <c r="E8" s="5" t="s">
        <v>83</v>
      </c>
      <c r="F8" s="6">
        <v>30</v>
      </c>
    </row>
    <row r="9" spans="2:6" x14ac:dyDescent="0.25">
      <c r="B9" s="5" t="s">
        <v>66</v>
      </c>
      <c r="C9" s="6">
        <v>2</v>
      </c>
    </row>
    <row r="10" spans="2:6" x14ac:dyDescent="0.25">
      <c r="B10" s="5" t="s">
        <v>49</v>
      </c>
      <c r="C10" s="6">
        <v>3</v>
      </c>
    </row>
    <row r="11" spans="2:6" x14ac:dyDescent="0.25">
      <c r="B11" s="5" t="s">
        <v>90</v>
      </c>
      <c r="C11" s="6">
        <v>4</v>
      </c>
    </row>
    <row r="12" spans="2:6" x14ac:dyDescent="0.25">
      <c r="B12" s="5" t="s">
        <v>93</v>
      </c>
      <c r="C12" s="6">
        <v>4</v>
      </c>
    </row>
    <row r="13" spans="2:6" x14ac:dyDescent="0.25">
      <c r="B13" s="5" t="s">
        <v>83</v>
      </c>
      <c r="C13" s="6">
        <v>30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Base</vt:lpstr>
      <vt:lpstr>Apoio</vt:lpstr>
      <vt:lpstr>Análises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Oliveira</dc:creator>
  <cp:lastModifiedBy>Diego Oliveira</cp:lastModifiedBy>
  <dcterms:created xsi:type="dcterms:W3CDTF">2015-06-05T18:17:20Z</dcterms:created>
  <dcterms:modified xsi:type="dcterms:W3CDTF">2026-10-11T21:29:27Z</dcterms:modified>
</cp:coreProperties>
</file>